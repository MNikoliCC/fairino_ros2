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'BOM'!$A$5:$R$34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1F5FBF"/>
      <u val="single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4" fontId="2" fillId="2" borderId="0" pivotButton="0" quotePrefix="0" xfId="0"/>
    <xf numFmtId="9" fontId="2" fillId="2" borderId="0" pivotButton="0" quotePrefix="0" xfId="0"/>
    <xf numFmtId="164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2" borderId="1" pivotButton="0" quotePrefix="0" xfId="0"/>
    <xf numFmtId="0" fontId="5" fillId="2" borderId="1" pivotButton="0" quotePrefix="0" xfId="0"/>
    <xf numFmtId="4" fontId="5" fillId="2" borderId="1" pivotButton="0" quotePrefix="0" xfId="0"/>
    <xf numFmtId="164" fontId="5" fillId="2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lix.rs/wp-content/uploads/katalog.pdf#page=20" TargetMode="External" Id="rId1" /><Relationship Type="http://schemas.openxmlformats.org/officeDocument/2006/relationships/hyperlink" Target="https://www.telix.rs/wp-content/uploads/3D%20modeli%20-%20Telix%20ALP%20katalog.zip" TargetMode="External" Id="rId2" /><Relationship Type="http://schemas.openxmlformats.org/officeDocument/2006/relationships/hyperlink" Target="https://www.telix.rs/wp-content/uploads/katalog.pdf#page=18" TargetMode="External" Id="rId3" /><Relationship Type="http://schemas.openxmlformats.org/officeDocument/2006/relationships/hyperlink" Target="https://www.telix.rs/wp-content/uploads/3D%20modeli%20-%20Telix%20ALP%20katalog.zip" TargetMode="External" Id="rId4" /><Relationship Type="http://schemas.openxmlformats.org/officeDocument/2006/relationships/hyperlink" Target="https://www.telix.rs/wp-content/uploads/katalog.pdf#page=18" TargetMode="External" Id="rId5" /><Relationship Type="http://schemas.openxmlformats.org/officeDocument/2006/relationships/hyperlink" Target="https://www.telix.rs/wp-content/uploads/katalog.pdf#page=18" TargetMode="External" Id="rId6" /><Relationship Type="http://schemas.openxmlformats.org/officeDocument/2006/relationships/hyperlink" Target="https://www.telix.rs/wp-content/uploads/katalog.pdf#page=80" TargetMode="External" Id="rId7" /><Relationship Type="http://schemas.openxmlformats.org/officeDocument/2006/relationships/hyperlink" Target="https://www.telix.rs/wp-content/uploads/3D%20modeli%20-%20Telix%20ALP%20katalog.zip" TargetMode="External" Id="rId8" /><Relationship Type="http://schemas.openxmlformats.org/officeDocument/2006/relationships/hyperlink" Target="https://www.telix.rs/wp-content/uploads/katalog.pdf#page=80" TargetMode="External" Id="rId9" /><Relationship Type="http://schemas.openxmlformats.org/officeDocument/2006/relationships/hyperlink" Target="https://www.telix.rs/wp-content/uploads/3D%20modeli%20-%20Telix%20ALP%20katalog.zip" TargetMode="External" Id="rId10" /><Relationship Type="http://schemas.openxmlformats.org/officeDocument/2006/relationships/hyperlink" Target="https://www.telix.rs/wp-content/uploads/katalog.pdf#page=30" TargetMode="External" Id="rId11" /><Relationship Type="http://schemas.openxmlformats.org/officeDocument/2006/relationships/hyperlink" Target="https://www.telix.rs/wp-content/uploads/3D%20modeli%20-%20Telix%20ALP%20katalog.zip" TargetMode="External" Id="rId12" /><Relationship Type="http://schemas.openxmlformats.org/officeDocument/2006/relationships/hyperlink" Target="https://www.telix.rs/wp-content/uploads/katalog.pdf#page=38" TargetMode="External" Id="rId13" /><Relationship Type="http://schemas.openxmlformats.org/officeDocument/2006/relationships/hyperlink" Target="https://www.telix.rs/wp-content/uploads/3D%20modeli%20-%20Telix%20ALP%20katalog.zip" TargetMode="External" Id="rId14" /><Relationship Type="http://schemas.openxmlformats.org/officeDocument/2006/relationships/hyperlink" Target="https://www.telix.rs/wp-content/uploads/katalog.pdf#page=157" TargetMode="External" Id="rId15" /><Relationship Type="http://schemas.openxmlformats.org/officeDocument/2006/relationships/hyperlink" Target="https://www.telix.rs/wp-content/uploads/3D%20modeli%20-%20Telix%20ALP%20katalog.zip" TargetMode="External" Id="rId16" /><Relationship Type="http://schemas.openxmlformats.org/officeDocument/2006/relationships/hyperlink" Target="https://www.telix.rs/wp-content/uploads/katalog.pdf#page=132" TargetMode="External" Id="rId17" /><Relationship Type="http://schemas.openxmlformats.org/officeDocument/2006/relationships/hyperlink" Target="https://www.telix.rs/wp-content/uploads/3D%20modeli%20-%20Telix%20ALP%20katalog.zip" TargetMode="External" Id="rId18" /><Relationship Type="http://schemas.openxmlformats.org/officeDocument/2006/relationships/hyperlink" Target="https://www.telix.rs/wp-content/uploads/katalog.pdf#page=182" TargetMode="External" Id="rId19" /><Relationship Type="http://schemas.openxmlformats.org/officeDocument/2006/relationships/hyperlink" Target="https://www.telix.rs/wp-content/uploads/3D%20modeli%20-%20Telix%20ALP%20katalog.zip" TargetMode="External" Id="rId20" /><Relationship Type="http://schemas.openxmlformats.org/officeDocument/2006/relationships/hyperlink" Target="https://www.telix.rs/wp-content/uploads/katalog.pdf#page=170" TargetMode="External" Id="rId21" /><Relationship Type="http://schemas.openxmlformats.org/officeDocument/2006/relationships/hyperlink" Target="https://www.telix.rs/wp-content/uploads/3D%20modeli%20-%20Telix%20ALP%20katalog.zip" TargetMode="External" Id="rId22" /><Relationship Type="http://schemas.openxmlformats.org/officeDocument/2006/relationships/hyperlink" Target="https://www.telix.rs/wp-content/uploads/katalog.pdf#page=171" TargetMode="External" Id="rId23" /><Relationship Type="http://schemas.openxmlformats.org/officeDocument/2006/relationships/hyperlink" Target="https://www.telix.rs/wp-content/uploads/3D%20modeli%20-%20Telix%20ALP%20katalog.zip" TargetMode="External" Id="rId24" /><Relationship Type="http://schemas.openxmlformats.org/officeDocument/2006/relationships/hyperlink" Target="https://mehatron.rs/profilisana-sina-gd35" TargetMode="External" Id="rId25" /><Relationship Type="http://schemas.openxmlformats.org/officeDocument/2006/relationships/hyperlink" Target="https://mehatron.rs/kolica-za-profilisanu-sinu-gd35wa" TargetMode="External" Id="rId26" /><Relationship Type="http://schemas.openxmlformats.org/officeDocument/2006/relationships/hyperlink" Target="https://www.aliexpress.com/item/1005013023414852.html" TargetMode="External" Id="rId27" /><Relationship Type="http://schemas.openxmlformats.org/officeDocument/2006/relationships/hyperlink" Target="https://prodajametala.rs/proizvod/aluminijum-brusena-ploca-1500x3000mm-t25-en-aw-5083" TargetMode="External" Id="rId28" /><Relationship Type="http://schemas.openxmlformats.org/officeDocument/2006/relationships/hyperlink" Target="https://deltatehnik.rs/usluga/usluga-glodanja/" TargetMode="External" Id="rId29" /><Relationship Type="http://schemas.openxmlformats.org/officeDocument/2006/relationships/hyperlink" Target="https://eshop.wurth.rs/vijak-cilind-gl-imbus-din-912-c-poc-8-8-m10x30-vijci-i-vijcane-veze" TargetMode="External" Id="rId30" /><Relationship Type="http://schemas.openxmlformats.org/officeDocument/2006/relationships/hyperlink" Target="https://eshop.wurth.rs/vijak-cilind-gl-imbus-din-912-c-poc-8-8-m10x50-vijci-i-vijcane-veze" TargetMode="External" Id="rId31" /><Relationship Type="http://schemas.openxmlformats.org/officeDocument/2006/relationships/hyperlink" Target="https://ami.rs/proizvod/cilindricna-civija-din-6325-m6-8x24" TargetMode="External" Id="rId32" /><Relationship Type="http://schemas.openxmlformats.org/officeDocument/2006/relationships/hyperlink" Target="https://eshop.wurth.rs/vijak-cilind-gl-imbus-din-912-c-poc-8-8-m8x30-vijci-i-vijcane-veze" TargetMode="External" Id="rId33" /><Relationship Type="http://schemas.openxmlformats.org/officeDocument/2006/relationships/hyperlink" Target="https://eshop.wurth.rs/vijak-cilind-gl-imbus-din-912-c-poc-8-8-m8x20-vijci-i-vijcane-veze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52" customWidth="1" min="4" max="4"/>
    <col width="18" customWidth="1" min="5" max="5"/>
    <col width="44" customWidth="1" min="6" max="6"/>
    <col width="8" customWidth="1" min="7" max="7"/>
    <col width="11" customWidth="1" min="8" max="8"/>
    <col width="7" customWidth="1" min="9" max="9"/>
    <col width="9" customWidth="1" min="10" max="10"/>
    <col width="13" customWidth="1" min="11" max="11"/>
    <col width="9" customWidth="1" min="12" max="12"/>
    <col width="15" customWidth="1" min="13" max="13"/>
    <col width="15" customWidth="1" min="14" max="14"/>
    <col width="13" customWidth="1" min="15" max="15"/>
    <col width="40" customWidth="1" min="16" max="16"/>
    <col width="10" customWidth="1" min="17" max="17"/>
    <col width="60" customWidth="1" min="18" max="18"/>
  </cols>
  <sheetData>
    <row r="1">
      <c r="A1" s="1" t="inlineStr">
        <is>
          <t>BOM – Robot linear rail (7. osa), v3</t>
        </is>
      </c>
    </row>
    <row r="2">
      <c r="A2" t="inlineStr">
        <is>
          <t>Kurs EUR→RSD (NBS srednji):</t>
        </is>
      </c>
      <c r="E2" s="2" t="n">
        <v>117.3931</v>
      </c>
      <c r="F2" t="inlineStr">
        <is>
          <t>NBS srednji kurs na dan 15.10.2026 – promenite ovde, sve se preračunava</t>
        </is>
      </c>
      <c r="H2" s="3" t="inlineStr">
        <is>
          <t>UKUPNO bez PDV (RSD):</t>
        </is>
      </c>
      <c r="K2" s="4">
        <f>M36</f>
        <v/>
      </c>
    </row>
    <row r="3">
      <c r="A3" t="inlineStr">
        <is>
          <t>PDV:</t>
        </is>
      </c>
      <c r="E3" s="5" t="n">
        <v>0.2</v>
      </c>
      <c r="H3" s="3" t="inlineStr">
        <is>
          <t>UKUPNO sa PDV (RSD):</t>
        </is>
      </c>
      <c r="K3" s="4">
        <f>N37</f>
        <v/>
      </c>
    </row>
    <row r="4">
      <c r="H4" s="3" t="inlineStr">
        <is>
          <t>UKUPNO bez PDV (EUR):</t>
        </is>
      </c>
      <c r="K4" s="6">
        <f>O38</f>
        <v/>
      </c>
    </row>
    <row r="5" ht="32" customHeight="1">
      <c r="A5" s="7" t="inlineStr">
        <is>
          <t>Rb.</t>
        </is>
      </c>
      <c r="B5" s="7" t="inlineStr">
        <is>
          <t>Šifra</t>
        </is>
      </c>
      <c r="C5" s="7" t="inlineStr">
        <is>
          <t>Naziv proizvoda</t>
        </is>
      </c>
      <c r="D5" s="7" t="inlineStr">
        <is>
          <t>Specifikacija / opis</t>
        </is>
      </c>
      <c r="E5" s="7" t="inlineStr">
        <is>
          <t>Dobavljač (Srbija)</t>
        </is>
      </c>
      <c r="F5" s="7" t="inlineStr">
        <is>
          <t>Link za nabavku</t>
        </is>
      </c>
      <c r="G5" s="7" t="inlineStr">
        <is>
          <t>Jed. mere</t>
        </is>
      </c>
      <c r="H5" s="7" t="inlineStr">
        <is>
          <t>Cena po jedinici</t>
        </is>
      </c>
      <c r="I5" s="7" t="inlineStr">
        <is>
          <t>Valuta</t>
        </is>
      </c>
      <c r="J5" s="7" t="inlineStr">
        <is>
          <t>Cena sadrži PDV?</t>
        </is>
      </c>
      <c r="K5" s="7" t="inlineStr">
        <is>
          <t>Jed. cena RSD bez PDV</t>
        </is>
      </c>
      <c r="L5" s="7" t="inlineStr">
        <is>
          <t>Količina</t>
        </is>
      </c>
      <c r="M5" s="7" t="inlineStr">
        <is>
          <t>Ukupno RSD bez PDV</t>
        </is>
      </c>
      <c r="N5" s="7" t="inlineStr">
        <is>
          <t>Ukupno RSD sa PDV</t>
        </is>
      </c>
      <c r="O5" s="7" t="inlineStr">
        <is>
          <t>Ukupno EUR bez PDV</t>
        </is>
      </c>
      <c r="P5" s="7" t="inlineStr">
        <is>
          <t>3D model (izvor)</t>
        </is>
      </c>
      <c r="Q5" s="7" t="inlineStr">
        <is>
          <t>U 3D modelu</t>
        </is>
      </c>
      <c r="R5" s="7" t="inlineStr">
        <is>
          <t>Napomena</t>
        </is>
      </c>
    </row>
    <row r="6">
      <c r="A6" s="8" t="inlineStr">
        <is>
          <t>A. Aluminijumski profili i usluge – Telix ALP sistem (cene EUR bez PDV, katalog mart 2026)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 s="10" t="n">
        <v>1</v>
      </c>
      <c r="B7" s="10" t="inlineStr">
        <is>
          <t>ALP0047</t>
        </is>
      </c>
      <c r="C7" s="10" t="inlineStr">
        <is>
          <t>Profil 45x90</t>
        </is>
      </c>
      <c r="D7" s="10" t="inlineStr">
        <is>
          <t>EN AW 6060 T66, slot 10, jezgro M12, 2,96 kg/m. 2 × 3000 mm (cele šipke od 3 m), postavljeni na kant (90 vertikalno), svetli razmak 500 mm.</t>
        </is>
      </c>
      <c r="E7" s="10" t="inlineStr">
        <is>
          <t>Telix (Novi Sad)</t>
        </is>
      </c>
      <c r="F7" s="11" t="inlineStr">
        <is>
          <t>https://www.telix.rs/wp-content/uploads/katalog.pdf#page=20</t>
        </is>
      </c>
      <c r="G7" s="10" t="inlineStr">
        <is>
          <t>m</t>
        </is>
      </c>
      <c r="H7" s="12" t="n">
        <v>19.13</v>
      </c>
      <c r="I7" s="10" t="inlineStr">
        <is>
          <t>EUR</t>
        </is>
      </c>
      <c r="J7" s="10" t="inlineStr">
        <is>
          <t>ne</t>
        </is>
      </c>
      <c r="K7" s="12">
        <f>IF(I7="EUR",H7*$E$2,H7)/IF(J7="da",1+$E$3,1)</f>
        <v/>
      </c>
      <c r="L7" s="10" t="n">
        <v>6</v>
      </c>
      <c r="M7" s="12">
        <f>K7*L7</f>
        <v/>
      </c>
      <c r="N7" s="12">
        <f>M7*(1+$E$3)</f>
        <v/>
      </c>
      <c r="O7" s="13">
        <f>M7/$E$2</f>
        <v/>
      </c>
      <c r="P7" s="11" t="inlineStr">
        <is>
          <t>https://www.telix.rs/wp-content/uploads/3D%20modeli%20-%20Telix%20ALP%20katalog.zip</t>
        </is>
      </c>
      <c r="Q7" s="10" t="inlineStr">
        <is>
          <t>da</t>
        </is>
      </c>
      <c r="R7" s="10" t="inlineStr">
        <is>
          <t>Cena važi za šipke od 3/6 m. Tražiti ravno odsečene krajeve ili sečenje na 3000 ±2 mm (+10% i 0,60 €/rez).</t>
        </is>
      </c>
    </row>
    <row r="8">
      <c r="A8" s="10" t="n">
        <v>2</v>
      </c>
      <c r="B8" s="10" t="inlineStr">
        <is>
          <t>ALP0045</t>
        </is>
      </c>
      <c r="C8" s="10" t="inlineStr">
        <is>
          <t>Profil 45x45</t>
        </is>
      </c>
      <c r="D8" s="10" t="inlineStr">
        <is>
          <t>EN AW 6060 T66, slot 10, jezgro M12, 1,57 kg/m. Sečeno: 4 × 500 mm (distanceri) + 8 × 100 mm (vertikalne noge) = 2,8 m (iz jedne šipke od 3 m).</t>
        </is>
      </c>
      <c r="E8" s="10" t="inlineStr">
        <is>
          <t>Telix (Novi Sad)</t>
        </is>
      </c>
      <c r="F8" s="11" t="inlineStr">
        <is>
          <t>https://www.telix.rs/wp-content/uploads/katalog.pdf#page=18</t>
        </is>
      </c>
      <c r="G8" s="10" t="inlineStr">
        <is>
          <t>m</t>
        </is>
      </c>
      <c r="H8" s="12" t="n">
        <v>10.19</v>
      </c>
      <c r="I8" s="10" t="inlineStr">
        <is>
          <t>EUR</t>
        </is>
      </c>
      <c r="J8" s="10" t="inlineStr">
        <is>
          <t>ne</t>
        </is>
      </c>
      <c r="K8" s="12">
        <f>IF(I8="EUR",H8*$E$2,H8)/IF(J8="da",1+$E$3,1)</f>
        <v/>
      </c>
      <c r="L8" s="10" t="n">
        <v>2.8</v>
      </c>
      <c r="M8" s="12">
        <f>K8*L8</f>
        <v/>
      </c>
      <c r="N8" s="12">
        <f>M8*(1+$E$3)</f>
        <v/>
      </c>
      <c r="O8" s="13">
        <f>M8/$E$2</f>
        <v/>
      </c>
      <c r="P8" s="11" t="inlineStr">
        <is>
          <t>https://www.telix.rs/wp-content/uploads/3D%20modeli%20-%20Telix%20ALP%20katalog.zip</t>
        </is>
      </c>
      <c r="Q8" s="10" t="inlineStr">
        <is>
          <t>da</t>
        </is>
      </c>
      <c r="R8" s="10" t="inlineStr"/>
    </row>
    <row r="9">
      <c r="A9" s="10" t="n">
        <v>3</v>
      </c>
      <c r="B9" s="10" t="inlineStr">
        <is>
          <t>USL-SEC</t>
        </is>
      </c>
      <c r="C9" s="10" t="inlineStr">
        <is>
          <t>Sečenje na meru – doplata 10%</t>
        </is>
      </c>
      <c r="D9" s="10" t="inlineStr">
        <is>
          <t>Telix: kod sečenja na željenu dužinu cena profila se uvećava za 10% (10% × 2,8 m × 10,19 €/m).</t>
        </is>
      </c>
      <c r="E9" s="10" t="inlineStr">
        <is>
          <t>Telix (Novi Sad)</t>
        </is>
      </c>
      <c r="F9" s="11" t="inlineStr">
        <is>
          <t>https://www.telix.rs/wp-content/uploads/katalog.pdf#page=18</t>
        </is>
      </c>
      <c r="G9" s="10" t="inlineStr">
        <is>
          <t>paušal</t>
        </is>
      </c>
      <c r="H9" s="12">
        <f>0.1*2.8*10.19</f>
        <v/>
      </c>
      <c r="I9" s="10" t="inlineStr">
        <is>
          <t>EUR</t>
        </is>
      </c>
      <c r="J9" s="10" t="inlineStr">
        <is>
          <t>ne</t>
        </is>
      </c>
      <c r="K9" s="12">
        <f>IF(I9="EUR",H9*$E$2,H9)/IF(J9="da",1+$E$3,1)</f>
        <v/>
      </c>
      <c r="L9" s="10" t="n">
        <v>1</v>
      </c>
      <c r="M9" s="12">
        <f>K9*L9</f>
        <v/>
      </c>
      <c r="N9" s="12">
        <f>M9*(1+$E$3)</f>
        <v/>
      </c>
      <c r="O9" s="13">
        <f>M9/$E$2</f>
        <v/>
      </c>
      <c r="P9" s="10" t="inlineStr">
        <is>
          <t>—</t>
        </is>
      </c>
      <c r="Q9" s="10" t="inlineStr">
        <is>
          <t>—</t>
        </is>
      </c>
      <c r="R9" s="10" t="inlineStr"/>
    </row>
    <row r="10">
      <c r="A10" s="10" t="n">
        <v>4</v>
      </c>
      <c r="B10" s="10" t="inlineStr">
        <is>
          <t>USL-REZ</t>
        </is>
      </c>
      <c r="C10" s="10" t="inlineStr">
        <is>
          <t>Sečenje – rez</t>
        </is>
      </c>
      <c r="D10" s="10" t="inlineStr">
        <is>
          <t>0,60 € po rezu; 12 komada iz šipke 45x45 → 12 rezova (tolerancija ±2 mm).</t>
        </is>
      </c>
      <c r="E10" s="10" t="inlineStr">
        <is>
          <t>Telix (Novi Sad)</t>
        </is>
      </c>
      <c r="F10" s="11" t="inlineStr">
        <is>
          <t>https://www.telix.rs/wp-content/uploads/katalog.pdf#page=18</t>
        </is>
      </c>
      <c r="G10" s="10" t="inlineStr">
        <is>
          <t>rez</t>
        </is>
      </c>
      <c r="H10" s="12" t="n">
        <v>0.6</v>
      </c>
      <c r="I10" s="10" t="inlineStr">
        <is>
          <t>EUR</t>
        </is>
      </c>
      <c r="J10" s="10" t="inlineStr">
        <is>
          <t>ne</t>
        </is>
      </c>
      <c r="K10" s="12">
        <f>IF(I10="EUR",H10*$E$2,H10)/IF(J10="da",1+$E$3,1)</f>
        <v/>
      </c>
      <c r="L10" s="10" t="n">
        <v>12</v>
      </c>
      <c r="M10" s="12">
        <f>K10*L10</f>
        <v/>
      </c>
      <c r="N10" s="12">
        <f>M10*(1+$E$3)</f>
        <v/>
      </c>
      <c r="O10" s="13">
        <f>M10/$E$2</f>
        <v/>
      </c>
      <c r="P10" s="10" t="inlineStr">
        <is>
          <t>—</t>
        </is>
      </c>
      <c r="Q10" s="10" t="inlineStr">
        <is>
          <t>—</t>
        </is>
      </c>
      <c r="R10" s="10" t="inlineStr"/>
    </row>
    <row r="11">
      <c r="A11" s="8" t="inlineStr">
        <is>
          <t>B. Spojni elementi – Telix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>
      <c r="A12" s="10" t="n">
        <v>5</v>
      </c>
      <c r="B12" s="10" t="inlineStr">
        <is>
          <t>ALP2137</t>
        </is>
      </c>
      <c r="C12" s="10" t="inlineStr">
        <is>
          <t>Ugaona spojnica 45-visoka (Vis. sp. za 45x45)</t>
        </is>
      </c>
      <c r="D12" s="10" t="inlineStr">
        <is>
          <t>Aluminijum, krakovi 91 mm, širina 40 mm, 2 ovalne rupe Ø9 po kraku (4 vijka po spojnici). 12 kom: distanceri → 45x90 (srednji 2 po strani, krajnji 1); 16 kom: noge (srednje: 2 na donju stranu 45x90; krajnje: 1 na donju stranu 45x90 + 1 na donju stranu krajnjeg distancera).</t>
        </is>
      </c>
      <c r="E12" s="10" t="inlineStr">
        <is>
          <t>Telix (Novi Sad)</t>
        </is>
      </c>
      <c r="F12" s="11" t="inlineStr">
        <is>
          <t>https://www.telix.rs/wp-content/uploads/katalog.pdf#page=80</t>
        </is>
      </c>
      <c r="G12" s="10" t="inlineStr">
        <is>
          <t>kom</t>
        </is>
      </c>
      <c r="H12" s="12" t="n">
        <v>5.09</v>
      </c>
      <c r="I12" s="10" t="inlineStr">
        <is>
          <t>EUR</t>
        </is>
      </c>
      <c r="J12" s="10" t="inlineStr">
        <is>
          <t>ne</t>
        </is>
      </c>
      <c r="K12" s="12">
        <f>IF(I12="EUR",H12*$E$2,H12)/IF(J12="da",1+$E$3,1)</f>
        <v/>
      </c>
      <c r="L12" s="10" t="n">
        <v>28</v>
      </c>
      <c r="M12" s="12">
        <f>K12*L12</f>
        <v/>
      </c>
      <c r="N12" s="12">
        <f>M12*(1+$E$3)</f>
        <v/>
      </c>
      <c r="O12" s="13">
        <f>M12/$E$2</f>
        <v/>
      </c>
      <c r="P12" s="11" t="inlineStr">
        <is>
          <t>https://www.telix.rs/wp-content/uploads/3D%20modeli%20-%20Telix%20ALP%20katalog.zip</t>
        </is>
      </c>
      <c r="Q12" s="10" t="inlineStr">
        <is>
          <t>da</t>
        </is>
      </c>
      <c r="R12" s="10" t="inlineStr">
        <is>
          <t>Viša nosivost od klasične ALP2135.</t>
        </is>
      </c>
    </row>
    <row r="13">
      <c r="A13" s="10" t="n">
        <v>6</v>
      </c>
      <c r="B13" s="10" t="inlineStr">
        <is>
          <t>ALP2138</t>
        </is>
      </c>
      <c r="C13" s="10" t="inlineStr">
        <is>
          <t>Poklopac 45 (za ugaonu spojnicu 45-visoku)</t>
        </is>
      </c>
      <c r="D13" s="10" t="inlineStr">
        <is>
          <t>Poliamid, crni; na svaku ALP2137 (distanceri i noge).</t>
        </is>
      </c>
      <c r="E13" s="10" t="inlineStr">
        <is>
          <t>Telix (Novi Sad)</t>
        </is>
      </c>
      <c r="F13" s="11" t="inlineStr">
        <is>
          <t>https://www.telix.rs/wp-content/uploads/katalog.pdf#page=80</t>
        </is>
      </c>
      <c r="G13" s="10" t="inlineStr">
        <is>
          <t>kom</t>
        </is>
      </c>
      <c r="H13" s="12" t="n">
        <v>1.46</v>
      </c>
      <c r="I13" s="10" t="inlineStr">
        <is>
          <t>EUR</t>
        </is>
      </c>
      <c r="J13" s="10" t="inlineStr">
        <is>
          <t>ne</t>
        </is>
      </c>
      <c r="K13" s="12">
        <f>IF(I13="EUR",H13*$E$2,H13)/IF(J13="da",1+$E$3,1)</f>
        <v/>
      </c>
      <c r="L13" s="10" t="n">
        <v>28</v>
      </c>
      <c r="M13" s="12">
        <f>K13*L13</f>
        <v/>
      </c>
      <c r="N13" s="12">
        <f>M13*(1+$E$3)</f>
        <v/>
      </c>
      <c r="O13" s="13">
        <f>M13/$E$2</f>
        <v/>
      </c>
      <c r="P13" s="11" t="inlineStr">
        <is>
          <t>https://www.telix.rs/wp-content/uploads/3D%20modeli%20-%20Telix%20ALP%20katalog.zip</t>
        </is>
      </c>
      <c r="Q13" s="10" t="inlineStr">
        <is>
          <t>da</t>
        </is>
      </c>
      <c r="R13" s="10" t="inlineStr"/>
    </row>
    <row r="14">
      <c r="A14" s="10" t="n">
        <v>7</v>
      </c>
      <c r="B14" s="10" t="inlineStr">
        <is>
          <t>ALP0175</t>
        </is>
      </c>
      <c r="C14" s="10" t="inlineStr">
        <is>
          <t>Vijak M8x20</t>
        </is>
      </c>
      <c r="D14" s="10" t="inlineStr">
        <is>
          <t>8.8, šestougaona glava sa nazubljenom prirubnicom i nanetim lepkom za navoj; 4 kom po ugaonoj spojnici ALP2137 (28 × 4).</t>
        </is>
      </c>
      <c r="E14" s="10" t="inlineStr">
        <is>
          <t>Telix (Novi Sad)</t>
        </is>
      </c>
      <c r="F14" s="11" t="inlineStr">
        <is>
          <t>https://www.telix.rs/wp-content/uploads/katalog.pdf#page=30</t>
        </is>
      </c>
      <c r="G14" s="10" t="inlineStr">
        <is>
          <t>kom</t>
        </is>
      </c>
      <c r="H14" s="12" t="n">
        <v>0.19</v>
      </c>
      <c r="I14" s="10" t="inlineStr">
        <is>
          <t>EUR</t>
        </is>
      </c>
      <c r="J14" s="10" t="inlineStr">
        <is>
          <t>ne</t>
        </is>
      </c>
      <c r="K14" s="12">
        <f>IF(I14="EUR",H14*$E$2,H14)/IF(J14="da",1+$E$3,1)</f>
        <v/>
      </c>
      <c r="L14" s="10" t="n">
        <v>112</v>
      </c>
      <c r="M14" s="12">
        <f>K14*L14</f>
        <v/>
      </c>
      <c r="N14" s="12">
        <f>M14*(1+$E$3)</f>
        <v/>
      </c>
      <c r="O14" s="13">
        <f>M14/$E$2</f>
        <v/>
      </c>
      <c r="P14" s="11" t="inlineStr">
        <is>
          <t>https://www.telix.rs/wp-content/uploads/3D%20modeli%20-%20Telix%20ALP%20katalog.zip</t>
        </is>
      </c>
      <c r="Q14" s="10" t="inlineStr">
        <is>
          <t>da</t>
        </is>
      </c>
      <c r="R14" s="10" t="inlineStr"/>
    </row>
    <row r="15">
      <c r="A15" s="10" t="n">
        <v>8</v>
      </c>
      <c r="B15" s="10" t="inlineStr">
        <is>
          <t>ALP0643</t>
        </is>
      </c>
      <c r="C15" s="10" t="inlineStr">
        <is>
          <t>Klizna navrtka M8 T10</t>
        </is>
      </c>
      <c r="D15" s="10" t="inlineStr">
        <is>
          <t>M8x20x20, čelik pocinkovan (najjača Telix navrtka za slot 10). 112 kom za ugaone spojnice + 76 kom za vijke šina (2 × 38) + 8 kom za ručke.</t>
        </is>
      </c>
      <c r="E15" s="10" t="inlineStr">
        <is>
          <t>Telix (Novi Sad)</t>
        </is>
      </c>
      <c r="F15" s="11" t="inlineStr">
        <is>
          <t>https://www.telix.rs/wp-content/uploads/katalog.pdf#page=38</t>
        </is>
      </c>
      <c r="G15" s="10" t="inlineStr">
        <is>
          <t>kom</t>
        </is>
      </c>
      <c r="H15" s="12" t="n">
        <v>0.3</v>
      </c>
      <c r="I15" s="10" t="inlineStr">
        <is>
          <t>EUR</t>
        </is>
      </c>
      <c r="J15" s="10" t="inlineStr">
        <is>
          <t>ne</t>
        </is>
      </c>
      <c r="K15" s="12">
        <f>IF(I15="EUR",H15*$E$2,H15)/IF(J15="da",1+$E$3,1)</f>
        <v/>
      </c>
      <c r="L15" s="10" t="n">
        <v>196</v>
      </c>
      <c r="M15" s="12">
        <f>K15*L15</f>
        <v/>
      </c>
      <c r="N15" s="12">
        <f>M15*(1+$E$3)</f>
        <v/>
      </c>
      <c r="O15" s="13">
        <f>M15/$E$2</f>
        <v/>
      </c>
      <c r="P15" s="11" t="inlineStr">
        <is>
          <t>https://www.telix.rs/wp-content/uploads/3D%20modeli%20-%20Telix%20ALP%20katalog.zip</t>
        </is>
      </c>
      <c r="Q15" s="10" t="inlineStr">
        <is>
          <t>da</t>
        </is>
      </c>
      <c r="R15" s="10" t="inlineStr">
        <is>
          <t>Ubacuje se samo sa kraja profila – sve navrtke ubaciti pre montaže čepova. Alternativa koja se ubacuje naknadno: elastična ALP0529 (0,24 €).</t>
        </is>
      </c>
    </row>
    <row r="16">
      <c r="A16" s="10" t="n">
        <v>9</v>
      </c>
      <c r="B16" s="10" t="inlineStr">
        <is>
          <t>ALP4017</t>
        </is>
      </c>
      <c r="C16" s="10" t="inlineStr">
        <is>
          <t>Poklopac 45x90 (čep)</t>
        </is>
      </c>
      <c r="D16" s="10" t="inlineStr">
        <is>
          <t>PA, utiskuje se u kraj profila. Samo na zadnjem kraju (Y = 3000); na početku šine čepovi su izostavljeni.</t>
        </is>
      </c>
      <c r="E16" s="10" t="inlineStr">
        <is>
          <t>Telix (Novi Sad)</t>
        </is>
      </c>
      <c r="F16" s="11" t="inlineStr">
        <is>
          <t>https://www.telix.rs/wp-content/uploads/katalog.pdf#page=157</t>
        </is>
      </c>
      <c r="G16" s="10" t="inlineStr">
        <is>
          <t>kom</t>
        </is>
      </c>
      <c r="H16" s="12" t="n">
        <v>0.85</v>
      </c>
      <c r="I16" s="10" t="inlineStr">
        <is>
          <t>EUR</t>
        </is>
      </c>
      <c r="J16" s="10" t="inlineStr">
        <is>
          <t>ne</t>
        </is>
      </c>
      <c r="K16" s="12">
        <f>IF(I16="EUR",H16*$E$2,H16)/IF(J16="da",1+$E$3,1)</f>
        <v/>
      </c>
      <c r="L16" s="10" t="n">
        <v>2</v>
      </c>
      <c r="M16" s="12">
        <f>K16*L16</f>
        <v/>
      </c>
      <c r="N16" s="12">
        <f>M16*(1+$E$3)</f>
        <v/>
      </c>
      <c r="O16" s="13">
        <f>M16/$E$2</f>
        <v/>
      </c>
      <c r="P16" s="11" t="inlineStr">
        <is>
          <t>https://www.telix.rs/wp-content/uploads/3D%20modeli%20-%20Telix%20ALP%20katalog.zip</t>
        </is>
      </c>
      <c r="Q16" s="10" t="inlineStr">
        <is>
          <t>da</t>
        </is>
      </c>
      <c r="R16" s="10" t="inlineStr"/>
    </row>
    <row r="17">
      <c r="A17" s="10" t="n">
        <v>10</v>
      </c>
      <c r="B17" s="10" t="inlineStr">
        <is>
          <t>ALP4112</t>
        </is>
      </c>
      <c r="C17" s="10" t="inlineStr">
        <is>
          <t>Ručka 120</t>
        </is>
      </c>
      <c r="D17" s="10" t="inlineStr">
        <is>
          <t>Aluminijum, 140 × 40 × 25 mm, razmak rupa 120 mm, rupe Ø8,5. Na spoljnim stranama profila 45x90, gornji slot, između nogu 1–2 i 3–4 (X = 515 i 2485 mm), 4 kom.</t>
        </is>
      </c>
      <c r="E17" s="10" t="inlineStr">
        <is>
          <t>Telix (Novi Sad)</t>
        </is>
      </c>
      <c r="F17" s="11" t="inlineStr">
        <is>
          <t>https://www.telix.rs/wp-content/uploads/katalog.pdf#page=132</t>
        </is>
      </c>
      <c r="G17" s="10" t="inlineStr">
        <is>
          <t>kom</t>
        </is>
      </c>
      <c r="H17" s="12" t="n">
        <v>1.87</v>
      </c>
      <c r="I17" s="10" t="inlineStr">
        <is>
          <t>EUR</t>
        </is>
      </c>
      <c r="J17" s="10" t="inlineStr">
        <is>
          <t>ne</t>
        </is>
      </c>
      <c r="K17" s="12">
        <f>IF(I17="EUR",H17*$E$2,H17)/IF(J17="da",1+$E$3,1)</f>
        <v/>
      </c>
      <c r="L17" s="10" t="n">
        <v>4</v>
      </c>
      <c r="M17" s="12">
        <f>K17*L17</f>
        <v/>
      </c>
      <c r="N17" s="12">
        <f>M17*(1+$E$3)</f>
        <v/>
      </c>
      <c r="O17" s="13">
        <f>M17/$E$2</f>
        <v/>
      </c>
      <c r="P17" s="11" t="inlineStr">
        <is>
          <t>https://www.telix.rs/wp-content/uploads/3D%20modeli%20-%20Telix%20ALP%20katalog.zip</t>
        </is>
      </c>
      <c r="Q17" s="10" t="inlineStr">
        <is>
          <t>da</t>
        </is>
      </c>
      <c r="R17" s="10" t="inlineStr">
        <is>
          <t>Pričvršćena sa 2 × DIN 912 M8x20 + 2 × ALP0643.</t>
        </is>
      </c>
    </row>
    <row r="18">
      <c r="A18" s="8" t="inlineStr">
        <is>
          <t>C. Točkovi i stope – Telix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>
      <c r="A19" s="10" t="n">
        <v>11</v>
      </c>
      <c r="B19" s="10" t="inlineStr">
        <is>
          <t>ALP5527</t>
        </is>
      </c>
      <c r="C19" s="10" t="inlineStr">
        <is>
          <t>Točak sa stopom CD80 (Toč. sa sto. CD80)</t>
        </is>
      </c>
      <c r="D19" s="10" t="inlineStr">
        <is>
          <t>Točak sa ugrađenom stopom za nivelaciju: točak 60x27, navoj M12×25, H105, nosivost 500 kg. Na 4 krajnje noge (na samim krajevima profila).</t>
        </is>
      </c>
      <c r="E19" s="10" t="inlineStr">
        <is>
          <t>Telix (Novi Sad)</t>
        </is>
      </c>
      <c r="F19" s="11" t="inlineStr">
        <is>
          <t>https://www.telix.rs/wp-content/uploads/katalog.pdf#page=182</t>
        </is>
      </c>
      <c r="G19" s="10" t="inlineStr">
        <is>
          <t>kom</t>
        </is>
      </c>
      <c r="H19" s="12" t="n">
        <v>11.5</v>
      </c>
      <c r="I19" s="10" t="inlineStr">
        <is>
          <t>EUR</t>
        </is>
      </c>
      <c r="J19" s="10" t="inlineStr">
        <is>
          <t>ne</t>
        </is>
      </c>
      <c r="K19" s="12">
        <f>IF(I19="EUR",H19*$E$2,H19)/IF(J19="da",1+$E$3,1)</f>
        <v/>
      </c>
      <c r="L19" s="10" t="n">
        <v>4</v>
      </c>
      <c r="M19" s="12">
        <f>K19*L19</f>
        <v/>
      </c>
      <c r="N19" s="12">
        <f>M19*(1+$E$3)</f>
        <v/>
      </c>
      <c r="O19" s="13">
        <f>M19/$E$2</f>
        <v/>
      </c>
      <c r="P19" s="11" t="inlineStr">
        <is>
          <t>https://www.telix.rs/wp-content/uploads/3D%20modeli%20-%20Telix%20ALP%20katalog.zip</t>
        </is>
      </c>
      <c r="Q19" s="10" t="inlineStr">
        <is>
          <t>da</t>
        </is>
      </c>
      <c r="R19" s="10" t="inlineStr">
        <is>
          <t>Uvrće se u jezgro noge narezano M12 (≥30 mm). Robot radi oslonjen na stope, ne na točkove.</t>
        </is>
      </c>
    </row>
    <row r="20">
      <c r="A20" s="10" t="n">
        <v>12</v>
      </c>
      <c r="B20" s="10" t="inlineStr">
        <is>
          <t>ALP2512</t>
        </is>
      </c>
      <c r="C20" s="10" t="inlineStr">
        <is>
          <t>Stopa fi39 Al (gumena podloga)</t>
        </is>
      </c>
      <c r="D20" s="10" t="inlineStr">
        <is>
          <t>Aluminijumsko telo Ø39 sa gumenom podlogom (trenje pri kretanju robota), sferni zglob, nosivost 1500 kg (najveća među Telix stopama sa gumom). Na 4 srednje noge.</t>
        </is>
      </c>
      <c r="E20" s="10" t="inlineStr">
        <is>
          <t>Telix (Novi Sad)</t>
        </is>
      </c>
      <c r="F20" s="11" t="inlineStr">
        <is>
          <t>https://www.telix.rs/wp-content/uploads/katalog.pdf#page=170</t>
        </is>
      </c>
      <c r="G20" s="10" t="inlineStr">
        <is>
          <t>kom</t>
        </is>
      </c>
      <c r="H20" s="12" t="n">
        <v>2.55</v>
      </c>
      <c r="I20" s="10" t="inlineStr">
        <is>
          <t>EUR</t>
        </is>
      </c>
      <c r="J20" s="10" t="inlineStr">
        <is>
          <t>ne</t>
        </is>
      </c>
      <c r="K20" s="12">
        <f>IF(I20="EUR",H20*$E$2,H20)/IF(J20="da",1+$E$3,1)</f>
        <v/>
      </c>
      <c r="L20" s="10" t="n">
        <v>4</v>
      </c>
      <c r="M20" s="12">
        <f>K20*L20</f>
        <v/>
      </c>
      <c r="N20" s="12">
        <f>M20*(1+$E$3)</f>
        <v/>
      </c>
      <c r="O20" s="13">
        <f>M20/$E$2</f>
        <v/>
      </c>
      <c r="P20" s="11" t="inlineStr">
        <is>
          <t>https://www.telix.rs/wp-content/uploads/3D%20modeli%20-%20Telix%20ALP%20katalog.zip</t>
        </is>
      </c>
      <c r="Q20" s="10" t="inlineStr">
        <is>
          <t>da</t>
        </is>
      </c>
      <c r="R20" s="10" t="inlineStr">
        <is>
          <t>Nabija se gumenim čekićem na brezon ALP2613. Alternativa: ALP2511 Stopa fi75 (3000 kg, 4,84 €) – u Telix STEP-u ima gumenu podlogu, ali katalog to ne navodi; potvrditi sa Telix-om.</t>
        </is>
      </c>
    </row>
    <row r="21">
      <c r="A21" s="10" t="n">
        <v>13</v>
      </c>
      <c r="B21" s="10" t="inlineStr">
        <is>
          <t>ALP2613</t>
        </is>
      </c>
      <c r="C21" s="10" t="inlineStr">
        <is>
          <t>Brezon M12x100</t>
        </is>
      </c>
      <c r="D21" s="10" t="inlineStr">
        <is>
          <t>Navojni stub M12×100 sa kuglom SR7,5 i kontra navrtkom, za stopu ALP2512; uvrće se u jezgro noge (≈18 mm navoja), nivelacija odvrtanjem.</t>
        </is>
      </c>
      <c r="E21" s="10" t="inlineStr">
        <is>
          <t>Telix (Novi Sad)</t>
        </is>
      </c>
      <c r="F21" s="11" t="inlineStr">
        <is>
          <t>https://www.telix.rs/wp-content/uploads/katalog.pdf#page=171</t>
        </is>
      </c>
      <c r="G21" s="10" t="inlineStr">
        <is>
          <t>kom</t>
        </is>
      </c>
      <c r="H21" s="12" t="n">
        <v>2.61</v>
      </c>
      <c r="I21" s="10" t="inlineStr">
        <is>
          <t>EUR</t>
        </is>
      </c>
      <c r="J21" s="10" t="inlineStr">
        <is>
          <t>ne</t>
        </is>
      </c>
      <c r="K21" s="12">
        <f>IF(I21="EUR",H21*$E$2,H21)/IF(J21="da",1+$E$3,1)</f>
        <v/>
      </c>
      <c r="L21" s="10" t="n">
        <v>4</v>
      </c>
      <c r="M21" s="12">
        <f>K21*L21</f>
        <v/>
      </c>
      <c r="N21" s="12">
        <f>M21*(1+$E$3)</f>
        <v/>
      </c>
      <c r="O21" s="13">
        <f>M21/$E$2</f>
        <v/>
      </c>
      <c r="P21" s="11" t="inlineStr">
        <is>
          <t>https://www.telix.rs/wp-content/uploads/3D%20modeli%20-%20Telix%20ALP%20katalog.zip</t>
        </is>
      </c>
      <c r="Q21" s="10" t="inlineStr">
        <is>
          <t>da</t>
        </is>
      </c>
      <c r="R21" s="10" t="inlineStr"/>
    </row>
    <row r="22">
      <c r="A22" s="8" t="inlineStr">
        <is>
          <t>D. Linearno vođenje – Mehatron (cene RSD sa PDV)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>
      <c r="A23" s="10" t="n">
        <v>14</v>
      </c>
      <c r="B23" s="10" t="inlineStr">
        <is>
          <t>550010</t>
        </is>
      </c>
      <c r="C23" s="10" t="inlineStr">
        <is>
          <t>Profilisana šina GD35 (Saier), dužina 300 cm</t>
        </is>
      </c>
      <c r="D23" s="10" t="inlineStr">
        <is>
          <t>Šina 34×29 mm, rupe Ø9/Ø14×12 za M8, korak 80 mm, 38 rupa na 3000 mm (E = 20 mm). Ekvivalent HIWIN HGR35R. Montirana na gornju stranu (45 mm) oba profila 45x90.</t>
        </is>
      </c>
      <c r="E23" s="10" t="inlineStr">
        <is>
          <t>Mehatron (Kragujevac)</t>
        </is>
      </c>
      <c r="F23" s="11" t="inlineStr">
        <is>
          <t>https://mehatron.rs/profilisana-sina-gd35</t>
        </is>
      </c>
      <c r="G23" s="10" t="inlineStr">
        <is>
          <t>kom</t>
        </is>
      </c>
      <c r="H23" s="12" t="n">
        <v>25200</v>
      </c>
      <c r="I23" s="10" t="inlineStr">
        <is>
          <t>RSD</t>
        </is>
      </c>
      <c r="J23" s="10" t="inlineStr">
        <is>
          <t>da</t>
        </is>
      </c>
      <c r="K23" s="12">
        <f>IF(I23="EUR",H23*$E$2,H23)/IF(J23="da",1+$E$3,1)</f>
        <v/>
      </c>
      <c r="L23" s="10" t="n">
        <v>2</v>
      </c>
      <c r="M23" s="12">
        <f>K23*L23</f>
        <v/>
      </c>
      <c r="N23" s="12">
        <f>M23*(1+$E$3)</f>
        <v/>
      </c>
      <c r="O23" s="13">
        <f>M23/$E$2</f>
        <v/>
      </c>
      <c r="P23" s="10" t="inlineStr">
        <is>
          <t>parametarski model (kataloške mere) – Saier SER-GD / HIWIN HGR35</t>
        </is>
      </c>
      <c r="Q23" s="10" t="inlineStr">
        <is>
          <t>da</t>
        </is>
      </c>
      <c r="R23" s="10" t="inlineStr">
        <is>
          <t>8.400 RSD/m. Tražiti simetrično sečenje E = 20 mm i informaciju o klasi prednaprezanja/tačnosti.</t>
        </is>
      </c>
    </row>
    <row r="24">
      <c r="A24" s="10" t="n">
        <v>15</v>
      </c>
      <c r="B24" s="10" t="inlineStr">
        <is>
          <t>550085</t>
        </is>
      </c>
      <c r="C24" s="10" t="inlineStr">
        <is>
          <t>Kolica za profilisanu šinu GD35WA (Saier) – široka, sa prirubnicom</t>
        </is>
      </c>
      <c r="D24" s="10" t="inlineStr">
        <is>
          <t>W100 × L110, H = 48 mm od dna šine, 4 × M10 na 82 × 62 (interfejs = HIWIN HGW35CC). 2 kolica po šini.</t>
        </is>
      </c>
      <c r="E24" s="10" t="inlineStr">
        <is>
          <t>Mehatron (Kragujevac)</t>
        </is>
      </c>
      <c r="F24" s="11" t="inlineStr">
        <is>
          <t>https://mehatron.rs/kolica-za-profilisanu-sinu-gd35wa</t>
        </is>
      </c>
      <c r="G24" s="10" t="inlineStr">
        <is>
          <t>kom</t>
        </is>
      </c>
      <c r="H24" s="12" t="n">
        <v>5280</v>
      </c>
      <c r="I24" s="10" t="inlineStr">
        <is>
          <t>RSD</t>
        </is>
      </c>
      <c r="J24" s="10" t="inlineStr">
        <is>
          <t>da</t>
        </is>
      </c>
      <c r="K24" s="12">
        <f>IF(I24="EUR",H24*$E$2,H24)/IF(J24="da",1+$E$3,1)</f>
        <v/>
      </c>
      <c r="L24" s="10" t="n">
        <v>4</v>
      </c>
      <c r="M24" s="12">
        <f>K24*L24</f>
        <v/>
      </c>
      <c r="N24" s="12">
        <f>M24*(1+$E$3)</f>
        <v/>
      </c>
      <c r="O24" s="13">
        <f>M24/$E$2</f>
        <v/>
      </c>
      <c r="P24" s="10" t="inlineStr">
        <is>
          <t>parametarski model (kataloške mere) – Saier SER-GD / HIWIN HGW35CC</t>
        </is>
      </c>
      <c r="Q24" s="10" t="inlineStr">
        <is>
          <t>da</t>
        </is>
      </c>
      <c r="R24" s="10" t="inlineStr">
        <is>
          <t>Ne mešati brendove šine i kolica.</t>
        </is>
      </c>
    </row>
    <row r="25">
      <c r="A25" s="10" t="n">
        <v>16</v>
      </c>
      <c r="B25" s="10" t="inlineStr">
        <is>
          <t>HG35-LIM</t>
        </is>
      </c>
      <c r="C25" s="10" t="inlineStr">
        <is>
          <t>Stoper (graničnik) za šinu veličine 35 – 'HG35 limit block' sa gumenim odbojnicima</t>
        </is>
      </c>
      <c r="D25" s="10" t="inlineStr">
        <is>
          <t>U-blok 60 × 20 × 35 mm koji se steže na šinu, 2 gumena odbojnika ka kolicima. Postavljen iznad poslednje rupe šine (20 mm od kraja) – vijak za stezanje ulazi u upust te rupe.</t>
        </is>
      </c>
      <c r="E25" s="10" t="inlineStr">
        <is>
          <t>AliExpress (uvoz)</t>
        </is>
      </c>
      <c r="F25" s="11" t="inlineStr">
        <is>
          <t>https://www.aliexpress.com/item/1005013023414852.html</t>
        </is>
      </c>
      <c r="G25" s="10" t="inlineStr">
        <is>
          <t>kom</t>
        </is>
      </c>
      <c r="H25" s="12" t="n">
        <v>983</v>
      </c>
      <c r="I25" s="10" t="inlineStr">
        <is>
          <t>RSD</t>
        </is>
      </c>
      <c r="J25" s="10" t="inlineStr">
        <is>
          <t>ne</t>
        </is>
      </c>
      <c r="K25" s="12">
        <f>IF(I25="EUR",H25*$E$2,H25)/IF(J25="da",1+$E$3,1)</f>
        <v/>
      </c>
      <c r="L25" s="10" t="n">
        <v>4</v>
      </c>
      <c r="M25" s="12">
        <f>K25*L25</f>
        <v/>
      </c>
      <c r="N25" s="12">
        <f>M25*(1+$E$3)</f>
        <v/>
      </c>
      <c r="O25" s="13">
        <f>M25/$E$2</f>
        <v/>
      </c>
      <c r="P25" s="10" t="inlineStr">
        <is>
          <t>parametarski model (kataloške mere)</t>
        </is>
      </c>
      <c r="Q25" s="10" t="inlineStr">
        <is>
          <t>da</t>
        </is>
      </c>
      <c r="R25" s="10" t="inlineStr">
        <is>
          <t>U Srbiji nema stopera za veličinu 35 (Vallder HGR-Lim samo 15–30, Mehatron nema). Okvirna cena bez dostave; PDV pri uvozu uračunat kroz formulu.</t>
        </is>
      </c>
    </row>
    <row r="26">
      <c r="A26" s="8" t="inlineStr">
        <is>
          <t>E. Ploča kolica (nosač robota FR20)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>
      <c r="A27" s="10" t="n">
        <v>17</v>
      </c>
      <c r="B27" s="10" t="inlineStr">
        <is>
          <t>PL-5083-25</t>
        </is>
      </c>
      <c r="C27" s="10" t="inlineStr">
        <is>
          <t>Aluminijumska brušena ploča EN AW-5083, 25 mm – isečena na 700 × 600 mm</t>
        </is>
      </c>
      <c r="D27" s="10" t="inlineStr">
        <is>
          <t>Materijal za ploču kolica: 700 (poprečno) × 600 (duž hoda) × 25 mm, ≈ 27,9 kg pre obrade. Brušena ploča zbog ravnosti (4 kolica).</t>
        </is>
      </c>
      <c r="E27" s="10" t="inlineStr">
        <is>
          <t>Prodaja Metala (Novi Sad)</t>
        </is>
      </c>
      <c r="F27" s="11" t="inlineStr">
        <is>
          <t>https://prodajametala.rs/proizvod/aluminijum-brusena-ploca-1500x3000mm-t25-en-aw-5083</t>
        </is>
      </c>
      <c r="G27" s="10" t="inlineStr">
        <is>
          <t>kg</t>
        </is>
      </c>
      <c r="H27" s="12" t="n">
        <v>780</v>
      </c>
      <c r="I27" s="10" t="inlineStr">
        <is>
          <t>RSD</t>
        </is>
      </c>
      <c r="J27" s="10" t="inlineStr">
        <is>
          <t>ne</t>
        </is>
      </c>
      <c r="K27" s="12">
        <f>IF(I27="EUR",H27*$E$2,H27)/IF(J27="da",1+$E$3,1)</f>
        <v/>
      </c>
      <c r="L27" s="10" t="n">
        <v>27.9</v>
      </c>
      <c r="M27" s="12">
        <f>K27*L27</f>
        <v/>
      </c>
      <c r="N27" s="12">
        <f>M27*(1+$E$3)</f>
        <v/>
      </c>
      <c r="O27" s="13">
        <f>M27/$E$2</f>
        <v/>
      </c>
      <c r="P27" s="10" t="inlineStr">
        <is>
          <t>parametarski model (vlastiti dizajn)</t>
        </is>
      </c>
      <c r="Q27" s="10" t="inlineStr">
        <is>
          <t>da</t>
        </is>
      </c>
      <c r="R27" s="10" t="inlineStr">
        <is>
          <t>Cena po kg bez PDV; sečenje na format – cena sečenja nije objavljena. Proveriti telefonom 021/641-2285.</t>
        </is>
      </c>
    </row>
    <row r="28">
      <c r="A28" s="10" t="n">
        <v>18</v>
      </c>
      <c r="B28" s="10" t="inlineStr">
        <is>
          <t>CNC-PLOCA</t>
        </is>
      </c>
      <c r="C28" s="10" t="inlineStr">
        <is>
          <t>CNC obrada ploče kolica (po crtežu)</t>
        </is>
      </c>
      <c r="D28" s="10" t="inlineStr">
        <is>
          <t>16 × Ø11/Ø17,5×10,5 upust za M10 (kolica, 82 × 62, osni razmak kolica 400 mm, šine 545 mm); 6 × M10 navoj kroz na PCD 210 (FR20, 30° + k·60°); 2 × Ø8 H7 prolazne (čivije); gravirana strelica +X.</t>
        </is>
      </c>
      <c r="E28" s="10" t="inlineStr">
        <is>
          <t>po ponudi (npr. Delta Tehnik Marold, Novi Sad)</t>
        </is>
      </c>
      <c r="F28" s="11" t="inlineStr">
        <is>
          <t>https://deltatehnik.rs/usluga/usluga-glodanja/</t>
        </is>
      </c>
      <c r="G28" s="10" t="inlineStr">
        <is>
          <t>kom</t>
        </is>
      </c>
      <c r="H28" s="12" t="n">
        <v>0</v>
      </c>
      <c r="I28" s="10" t="inlineStr">
        <is>
          <t>RSD</t>
        </is>
      </c>
      <c r="J28" s="10" t="inlineStr">
        <is>
          <t>ne</t>
        </is>
      </c>
      <c r="K28" s="12">
        <f>IF(I28="EUR",H28*$E$2,H28)/IF(J28="da",1+$E$3,1)</f>
        <v/>
      </c>
      <c r="L28" s="10" t="n">
        <v>1</v>
      </c>
      <c r="M28" s="12">
        <f>K28*L28</f>
        <v/>
      </c>
      <c r="N28" s="12">
        <f>M28*(1+$E$3)</f>
        <v/>
      </c>
      <c r="O28" s="13">
        <f>M28/$E$2</f>
        <v/>
      </c>
      <c r="P28" s="10" t="inlineStr">
        <is>
          <t>—</t>
        </is>
      </c>
      <c r="Q28" s="10" t="inlineStr">
        <is>
          <t>da</t>
        </is>
      </c>
      <c r="R28" s="10" t="inlineStr">
        <is>
          <t>NIJE uračunato u ukupnu cenu – tražiti ponudu (Delta Tehnik Marold ili MS Technologies) sa STEP crtežom.</t>
        </is>
      </c>
    </row>
    <row r="29">
      <c r="A29" s="10" t="n">
        <v>19</v>
      </c>
      <c r="B29" s="10" t="inlineStr">
        <is>
          <t>00841030</t>
        </is>
      </c>
      <c r="C29" s="10" t="inlineStr">
        <is>
          <t>Vijak cilindrične glave imbus DIN 912 M10x30, 8.8, pocinkovan</t>
        </is>
      </c>
      <c r="D29" s="10" t="inlineStr">
        <is>
          <t>Ploča → kolica GD35WA (4 × M10 po kolicima, 4 kolica).</t>
        </is>
      </c>
      <c r="E29" s="10" t="inlineStr">
        <is>
          <t>Würth Srbija</t>
        </is>
      </c>
      <c r="F29" s="11" t="inlineStr">
        <is>
          <t>https://eshop.wurth.rs/vijak-cilind-gl-imbus-din-912-c-poc-8-8-m10x30-vijci-i-vijcane-veze</t>
        </is>
      </c>
      <c r="G29" s="10" t="inlineStr">
        <is>
          <t>kom</t>
        </is>
      </c>
      <c r="H29" s="12" t="n">
        <v>48</v>
      </c>
      <c r="I29" s="10" t="inlineStr">
        <is>
          <t>RSD</t>
        </is>
      </c>
      <c r="J29" s="10" t="inlineStr">
        <is>
          <t>da</t>
        </is>
      </c>
      <c r="K29" s="12">
        <f>IF(I29="EUR",H29*$E$2,H29)/IF(J29="da",1+$E$3,1)</f>
        <v/>
      </c>
      <c r="L29" s="10" t="n">
        <v>16</v>
      </c>
      <c r="M29" s="12">
        <f>K29*L29</f>
        <v/>
      </c>
      <c r="N29" s="12">
        <f>M29*(1+$E$3)</f>
        <v/>
      </c>
      <c r="O29" s="13">
        <f>M29/$E$2</f>
        <v/>
      </c>
      <c r="P29" s="10" t="inlineStr">
        <is>
          <t>parametarski model (kataloške mere)</t>
        </is>
      </c>
      <c r="Q29" s="10" t="inlineStr">
        <is>
          <t>da</t>
        </is>
      </c>
      <c r="R29" s="10" t="inlineStr">
        <is>
          <t>Min. pakovanje 25 kom (1.200 RSD).</t>
        </is>
      </c>
    </row>
    <row r="30">
      <c r="A30" s="10" t="n">
        <v>20</v>
      </c>
      <c r="B30" s="10" t="inlineStr">
        <is>
          <t>00841050</t>
        </is>
      </c>
      <c r="C30" s="10" t="inlineStr">
        <is>
          <t>Vijak cilindrične glave imbus DIN 912 M10x50, 8.8, pocinkovan</t>
        </is>
      </c>
      <c r="D30" s="10" t="inlineStr">
        <is>
          <t>Robot FR20 → ploča: 6 kom kroz prirubnicu baze (25 mm) u navoj ploče (25 mm).</t>
        </is>
      </c>
      <c r="E30" s="10" t="inlineStr">
        <is>
          <t>Würth Srbija</t>
        </is>
      </c>
      <c r="F30" s="11" t="inlineStr">
        <is>
          <t>https://eshop.wurth.rs/vijak-cilind-gl-imbus-din-912-c-poc-8-8-m10x50-vijci-i-vijcane-veze</t>
        </is>
      </c>
      <c r="G30" s="10" t="inlineStr">
        <is>
          <t>kom</t>
        </is>
      </c>
      <c r="H30" s="12" t="n">
        <v>41</v>
      </c>
      <c r="I30" s="10" t="inlineStr">
        <is>
          <t>RSD</t>
        </is>
      </c>
      <c r="J30" s="10" t="inlineStr">
        <is>
          <t>da</t>
        </is>
      </c>
      <c r="K30" s="12">
        <f>IF(I30="EUR",H30*$E$2,H30)/IF(J30="da",1+$E$3,1)</f>
        <v/>
      </c>
      <c r="L30" s="10" t="n">
        <v>6</v>
      </c>
      <c r="M30" s="12">
        <f>K30*L30</f>
        <v/>
      </c>
      <c r="N30" s="12">
        <f>M30*(1+$E$3)</f>
        <v/>
      </c>
      <c r="O30" s="13">
        <f>M30/$E$2</f>
        <v/>
      </c>
      <c r="P30" s="10" t="inlineStr">
        <is>
          <t>—</t>
        </is>
      </c>
      <c r="Q30" s="10" t="inlineStr">
        <is>
          <t>ne (robot nije u modelu)</t>
        </is>
      </c>
      <c r="R30" s="10" t="inlineStr">
        <is>
          <t>Min. pakovanje 100 kom. M10x45 nema u Würth eshopu. Proveriti debljinu prirubnice FR20 na crtežu.</t>
        </is>
      </c>
    </row>
    <row r="31">
      <c r="A31" s="10" t="n">
        <v>21</v>
      </c>
      <c r="B31" s="10" t="inlineStr">
        <is>
          <t>11980024</t>
        </is>
      </c>
      <c r="C31" s="10" t="inlineStr">
        <is>
          <t>Cilindrična čivija DIN 6325 m6 Ø8 × 24</t>
        </is>
      </c>
      <c r="D31" s="10" t="inlineStr">
        <is>
          <t>Kaljena brušena čivija za tačno pozicioniranje baze robota: utiskuje se u prolaznu rupu Ø8 H7 u ploči, viri 9 mm i ulazi u rupu/žleb Ø8 na dnu baze FR20.</t>
        </is>
      </c>
      <c r="E31" s="10" t="inlineStr">
        <is>
          <t>AMI d.o.o.</t>
        </is>
      </c>
      <c r="F31" s="11" t="inlineStr">
        <is>
          <t>https://ami.rs/proizvod/cilindricna-civija-din-6325-m6-8x24</t>
        </is>
      </c>
      <c r="G31" s="10" t="inlineStr">
        <is>
          <t>kom</t>
        </is>
      </c>
      <c r="H31" s="12" t="n">
        <v>41.62</v>
      </c>
      <c r="I31" s="10" t="inlineStr">
        <is>
          <t>RSD</t>
        </is>
      </c>
      <c r="J31" s="10" t="inlineStr">
        <is>
          <t>da</t>
        </is>
      </c>
      <c r="K31" s="12">
        <f>IF(I31="EUR",H31*$E$2,H31)/IF(J31="da",1+$E$3,1)</f>
        <v/>
      </c>
      <c r="L31" s="10" t="n">
        <v>2</v>
      </c>
      <c r="M31" s="12">
        <f>K31*L31</f>
        <v/>
      </c>
      <c r="N31" s="12">
        <f>M31*(1+$E$3)</f>
        <v/>
      </c>
      <c r="O31" s="13">
        <f>M31/$E$2</f>
        <v/>
      </c>
      <c r="P31" s="10" t="inlineStr">
        <is>
          <t>parametarski model (kataloške mere)</t>
        </is>
      </c>
      <c r="Q31" s="10" t="inlineStr">
        <is>
          <t>da</t>
        </is>
      </c>
      <c r="R31" s="10" t="inlineStr"/>
    </row>
    <row r="32">
      <c r="A32" s="8" t="inlineStr">
        <is>
          <t>F. Vijci za šine i ručke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</row>
    <row r="33">
      <c r="A33" s="10" t="n">
        <v>22</v>
      </c>
      <c r="B33" s="10" t="inlineStr">
        <is>
          <t>0084830</t>
        </is>
      </c>
      <c r="C33" s="10" t="inlineStr">
        <is>
          <t>Vijak cilindrične glave imbus DIN 912 M8x30, 8.8, pocinkovan</t>
        </is>
      </c>
      <c r="D33" s="10" t="inlineStr">
        <is>
          <t>Šina → klizna navrtka ALP0643 u gornjem slotu 45x90: 17 mm šina + 6 mm zid slota + navrtka; 38 kom po šini.</t>
        </is>
      </c>
      <c r="E33" s="10" t="inlineStr">
        <is>
          <t>Würth Srbija</t>
        </is>
      </c>
      <c r="F33" s="11" t="inlineStr">
        <is>
          <t>https://eshop.wurth.rs/vijak-cilind-gl-imbus-din-912-c-poc-8-8-m8x30-vijci-i-vijcane-veze</t>
        </is>
      </c>
      <c r="G33" s="10" t="inlineStr">
        <is>
          <t>kom</t>
        </is>
      </c>
      <c r="H33" s="12" t="n">
        <v>30</v>
      </c>
      <c r="I33" s="10" t="inlineStr">
        <is>
          <t>RSD</t>
        </is>
      </c>
      <c r="J33" s="10" t="inlineStr">
        <is>
          <t>da</t>
        </is>
      </c>
      <c r="K33" s="12">
        <f>IF(I33="EUR",H33*$E$2,H33)/IF(J33="da",1+$E$3,1)</f>
        <v/>
      </c>
      <c r="L33" s="10" t="n">
        <v>76</v>
      </c>
      <c r="M33" s="12">
        <f>K33*L33</f>
        <v/>
      </c>
      <c r="N33" s="12">
        <f>M33*(1+$E$3)</f>
        <v/>
      </c>
      <c r="O33" s="13">
        <f>M33/$E$2</f>
        <v/>
      </c>
      <c r="P33" s="10" t="inlineStr">
        <is>
          <t>parametarski model (kataloške mere)</t>
        </is>
      </c>
      <c r="Q33" s="10" t="inlineStr">
        <is>
          <t>da</t>
        </is>
      </c>
      <c r="R33" s="10" t="inlineStr">
        <is>
          <t>Minimalno pakovanje 100 kom (3.000 RSD). Ne M8x35 (udara u dno slota, dubina 14,5 mm); bez podloški (Ø16 ne staje u upust Ø14).</t>
        </is>
      </c>
    </row>
    <row r="34">
      <c r="A34" s="10" t="n">
        <v>23</v>
      </c>
      <c r="B34" s="10" t="inlineStr">
        <is>
          <t>0084820</t>
        </is>
      </c>
      <c r="C34" s="10" t="inlineStr">
        <is>
          <t>Vijak cilindrične glave imbus DIN 912 M8x20, 8.8, pocinkovan</t>
        </is>
      </c>
      <c r="D34" s="10" t="inlineStr">
        <is>
          <t>Ručka ALP4112 → klizna navrtka (2 po ručki).</t>
        </is>
      </c>
      <c r="E34" s="10" t="inlineStr">
        <is>
          <t>Würth Srbija</t>
        </is>
      </c>
      <c r="F34" s="11" t="inlineStr">
        <is>
          <t>https://eshop.wurth.rs/vijak-cilind-gl-imbus-din-912-c-poc-8-8-m8x20-vijci-i-vijcane-veze</t>
        </is>
      </c>
      <c r="G34" s="10" t="inlineStr">
        <is>
          <t>kom</t>
        </is>
      </c>
      <c r="H34" s="12" t="n">
        <v>23</v>
      </c>
      <c r="I34" s="10" t="inlineStr">
        <is>
          <t>RSD</t>
        </is>
      </c>
      <c r="J34" s="10" t="inlineStr">
        <is>
          <t>da</t>
        </is>
      </c>
      <c r="K34" s="12">
        <f>IF(I34="EUR",H34*$E$2,H34)/IF(J34="da",1+$E$3,1)</f>
        <v/>
      </c>
      <c r="L34" s="10" t="n">
        <v>8</v>
      </c>
      <c r="M34" s="12">
        <f>K34*L34</f>
        <v/>
      </c>
      <c r="N34" s="12">
        <f>M34*(1+$E$3)</f>
        <v/>
      </c>
      <c r="O34" s="13">
        <f>M34/$E$2</f>
        <v/>
      </c>
      <c r="P34" s="10" t="inlineStr">
        <is>
          <t>parametarski model (kataloške mere)</t>
        </is>
      </c>
      <c r="Q34" s="10" t="inlineStr">
        <is>
          <t>da</t>
        </is>
      </c>
      <c r="R34" s="10" t="inlineStr">
        <is>
          <t>Min. pakovanje 100 kom.</t>
        </is>
      </c>
    </row>
    <row r="36">
      <c r="A36" s="14" t="n"/>
      <c r="B36" s="14" t="n"/>
      <c r="C36" s="15" t="inlineStr">
        <is>
          <t>UKUPNO bez PDV (RSD)</t>
        </is>
      </c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6">
        <f>SUM(M6:M34)</f>
        <v/>
      </c>
      <c r="N36" s="14" t="n"/>
      <c r="O36" s="14" t="n"/>
      <c r="P36" s="14" t="n"/>
      <c r="Q36" s="14" t="n"/>
      <c r="R36" s="14" t="n"/>
    </row>
    <row r="37">
      <c r="A37" s="14" t="n"/>
      <c r="B37" s="14" t="n"/>
      <c r="C37" s="15" t="inlineStr">
        <is>
          <t>UKUPNO sa PDV (RSD)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6">
        <f>SUM(N6:N34)</f>
        <v/>
      </c>
      <c r="O37" s="14" t="n"/>
      <c r="P37" s="14" t="n"/>
      <c r="Q37" s="14" t="n"/>
      <c r="R37" s="14" t="n"/>
    </row>
    <row r="38">
      <c r="A38" s="14" t="n"/>
      <c r="B38" s="14" t="n"/>
      <c r="C38" s="15" t="inlineStr">
        <is>
          <t>UKUPNO bez PDV (EUR)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7">
        <f>SUM(O6:O34)</f>
        <v/>
      </c>
      <c r="P38" s="14" t="n"/>
      <c r="Q38" s="14" t="n"/>
      <c r="R38" s="14" t="n"/>
    </row>
    <row r="40">
      <c r="A40" s="18" t="inlineStr">
        <is>
          <t>Napomene</t>
        </is>
      </c>
    </row>
    <row r="41">
      <c r="A41" t="inlineStr">
        <is>
          <t>•</t>
        </is>
      </c>
      <c r="B41" s="19" t="inlineStr">
        <is>
          <t>Izvori cena (provereno 17.10.2026): Telix katalog-cenovnik mart 2026 (EUR, bez PDV); Mehatron, Würth, AMI – cene sa sajta sa PDV; Prodaja Metala – RSD/kg bez PDV; AliExpress – okvirno. CNC obrada ploče nije uračunata (po ponudi).</t>
        </is>
      </c>
    </row>
    <row r="42">
      <c r="A42" t="inlineStr">
        <is>
          <t>•</t>
        </is>
      </c>
      <c r="B42" s="19" t="inlineStr">
        <is>
          <t>Telix nema web-shop: porudžbine na office@telix.rs / +381 21 489 0 489; preko 50 € bez manipulativnih troškova. Linkovi vode na stranu kataloga.</t>
        </is>
      </c>
    </row>
    <row r="43">
      <c r="A43" t="inlineStr">
        <is>
          <t>•</t>
        </is>
      </c>
      <c r="B43" s="19" t="inlineStr">
        <is>
          <t>Koordinatni sistem modela: X = pravac hoda (X = 0 početak bez čepova), Y poprečno, Z gore, Z = 0 pod. X ose robota poklapa se sa X osom raila (strelica +X ugravirana na ploči).</t>
        </is>
      </c>
    </row>
    <row r="44">
      <c r="A44" t="inlineStr">
        <is>
          <t>•</t>
        </is>
      </c>
      <c r="B44" s="19" t="inlineStr">
        <is>
          <t>Profili 45x90 na kant, svetli razmak 500 mm (osni 545 mm); distanceri 45x45 × 500 mm u donjih 45 mm, osni razmak 985 mm.</t>
        </is>
      </c>
    </row>
    <row r="45">
      <c r="A45" t="inlineStr">
        <is>
          <t>•</t>
        </is>
      </c>
      <c r="B45" s="19" t="inlineStr">
        <is>
          <t>Noge su ispod distancera (osni razmak 985 mm, krajnje na samim krajevima); svaka ima 2 ugaone spojnice ALP2137 – krajnje: jedna ka sredini na donju stranu 45x90 i jedna na donju stranu krajnjeg distancera.</t>
        </is>
      </c>
    </row>
    <row r="46">
      <c r="A46" t="inlineStr">
        <is>
          <t>•</t>
        </is>
      </c>
      <c r="B46" s="19" t="inlineStr">
        <is>
          <t>Ručke u gornjem slotu: između vrha ručke i dna ploče kolica ostaje ≈ 57 mm – pazi na prste kada ploča prolazi.</t>
        </is>
      </c>
    </row>
    <row r="47">
      <c r="A47" t="inlineStr">
        <is>
          <t>•</t>
        </is>
      </c>
      <c r="B47" s="19" t="inlineStr">
        <is>
          <t>Visine od poda: donja ivica noge 112 mm, vrh profila 302 mm, vrh šine 331 mm, vrh kolica 350 mm, vrh ploče 375 mm.</t>
        </is>
      </c>
    </row>
    <row r="48">
      <c r="A48" t="inlineStr">
        <is>
          <t>•</t>
        </is>
      </c>
      <c r="B48" s="19" t="inlineStr">
        <is>
          <t>Stoperi iznad prve/poslednje rupe šine: hod centra ploče ≈ 291 … 2709 mm (≈ 2418 mm).</t>
        </is>
      </c>
    </row>
    <row r="49">
      <c r="A49" t="inlineStr">
        <is>
          <t>•</t>
        </is>
      </c>
      <c r="B49" s="19" t="inlineStr">
        <is>
          <t>Baza FR20 (izmereno na meshu fairino_description): prirubnica Ø240, 6 × Ø10,5 na PCD 210, na dnu okrugla rupa Ø8 i žleb Ø8 za čivije – prečnik i položaj čivija potvrditi sa zvaničnim crtežom FAIRINO pre obrade ploče.</t>
        </is>
      </c>
    </row>
    <row r="50">
      <c r="A50" t="inlineStr">
        <is>
          <t>•</t>
        </is>
      </c>
      <c r="B50" s="19" t="inlineStr">
        <is>
          <t>Jezgro nogu 45x45 narezati M12 (≥25 mm za stope, ≥30 mm za točkove); ureznica M12 (npr. Würth 0639712, 3.990 RSD) nije uračunata.</t>
        </is>
      </c>
    </row>
    <row r="51">
      <c r="A51" t="inlineStr">
        <is>
          <t>•</t>
        </is>
      </c>
      <c r="B51" s="19" t="inlineStr">
        <is>
          <t>Stoperi tipa 'limit block' nisu udarni graničnici; za robota predvideti i softverske limite / tvrdi graničnik sa odbojnikom. Domaća alternativa: AMI Niš HK 3501 A stega (75 € bez PDV/kom).</t>
        </is>
      </c>
    </row>
    <row r="52">
      <c r="A52" t="inlineStr">
        <is>
          <t>•</t>
        </is>
      </c>
      <c r="B52" s="19" t="inlineStr">
        <is>
          <t>Besplatni STEP za GD35/GD35WA/stoper ne postoji bez logovanja, pa su ti delovi parametarski modelovani.</t>
        </is>
      </c>
    </row>
    <row r="53">
      <c r="A53" t="inlineStr">
        <is>
          <t>•</t>
        </is>
      </c>
      <c r="B53" s="19" t="inlineStr">
        <is>
          <t>Nije obuhvaćeno: pogon (zupčasta letva, motor), kablovski lanac, sidrenje u pod, robot.</t>
        </is>
      </c>
    </row>
  </sheetData>
  <autoFilter ref="A5:R34"/>
  <hyperlinks>
    <hyperlink xmlns:r="http://schemas.openxmlformats.org/officeDocument/2006/relationships" ref="F7" r:id="rId1"/>
    <hyperlink xmlns:r="http://schemas.openxmlformats.org/officeDocument/2006/relationships" ref="P7" r:id="rId2"/>
    <hyperlink xmlns:r="http://schemas.openxmlformats.org/officeDocument/2006/relationships" ref="F8" r:id="rId3"/>
    <hyperlink xmlns:r="http://schemas.openxmlformats.org/officeDocument/2006/relationships" ref="P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2" r:id="rId7"/>
    <hyperlink xmlns:r="http://schemas.openxmlformats.org/officeDocument/2006/relationships" ref="P12" r:id="rId8"/>
    <hyperlink xmlns:r="http://schemas.openxmlformats.org/officeDocument/2006/relationships" ref="F13" r:id="rId9"/>
    <hyperlink xmlns:r="http://schemas.openxmlformats.org/officeDocument/2006/relationships" ref="P13" r:id="rId10"/>
    <hyperlink xmlns:r="http://schemas.openxmlformats.org/officeDocument/2006/relationships" ref="F14" r:id="rId11"/>
    <hyperlink xmlns:r="http://schemas.openxmlformats.org/officeDocument/2006/relationships" ref="P14" r:id="rId12"/>
    <hyperlink xmlns:r="http://schemas.openxmlformats.org/officeDocument/2006/relationships" ref="F15" r:id="rId13"/>
    <hyperlink xmlns:r="http://schemas.openxmlformats.org/officeDocument/2006/relationships" ref="P15" r:id="rId14"/>
    <hyperlink xmlns:r="http://schemas.openxmlformats.org/officeDocument/2006/relationships" ref="F16" r:id="rId15"/>
    <hyperlink xmlns:r="http://schemas.openxmlformats.org/officeDocument/2006/relationships" ref="P16" r:id="rId16"/>
    <hyperlink xmlns:r="http://schemas.openxmlformats.org/officeDocument/2006/relationships" ref="F17" r:id="rId17"/>
    <hyperlink xmlns:r="http://schemas.openxmlformats.org/officeDocument/2006/relationships" ref="P17" r:id="rId18"/>
    <hyperlink xmlns:r="http://schemas.openxmlformats.org/officeDocument/2006/relationships" ref="F19" r:id="rId19"/>
    <hyperlink xmlns:r="http://schemas.openxmlformats.org/officeDocument/2006/relationships" ref="P19" r:id="rId20"/>
    <hyperlink xmlns:r="http://schemas.openxmlformats.org/officeDocument/2006/relationships" ref="F20" r:id="rId21"/>
    <hyperlink xmlns:r="http://schemas.openxmlformats.org/officeDocument/2006/relationships" ref="P20" r:id="rId22"/>
    <hyperlink xmlns:r="http://schemas.openxmlformats.org/officeDocument/2006/relationships" ref="F21" r:id="rId23"/>
    <hyperlink xmlns:r="http://schemas.openxmlformats.org/officeDocument/2006/relationships" ref="P21" r:id="rId24"/>
    <hyperlink xmlns:r="http://schemas.openxmlformats.org/officeDocument/2006/relationships" ref="F23" r:id="rId25"/>
    <hyperlink xmlns:r="http://schemas.openxmlformats.org/officeDocument/2006/relationships" ref="F24" r:id="rId26"/>
    <hyperlink xmlns:r="http://schemas.openxmlformats.org/officeDocument/2006/relationships" ref="F25" r:id="rId27"/>
    <hyperlink xmlns:r="http://schemas.openxmlformats.org/officeDocument/2006/relationships" ref="F27" r:id="rId28"/>
    <hyperlink xmlns:r="http://schemas.openxmlformats.org/officeDocument/2006/relationships" ref="F28" r:id="rId29"/>
    <hyperlink xmlns:r="http://schemas.openxmlformats.org/officeDocument/2006/relationships" ref="F29" r:id="rId30"/>
    <hyperlink xmlns:r="http://schemas.openxmlformats.org/officeDocument/2006/relationships" ref="F30" r:id="rId31"/>
    <hyperlink xmlns:r="http://schemas.openxmlformats.org/officeDocument/2006/relationships" ref="F31" r:id="rId32"/>
    <hyperlink xmlns:r="http://schemas.openxmlformats.org/officeDocument/2006/relationships" ref="F33" r:id="rId33"/>
    <hyperlink xmlns:r="http://schemas.openxmlformats.org/officeDocument/2006/relationships" ref="F34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2026-10-17T22:41:48Z</dcterms:created>
  <dcterms:modified xsi:type="dcterms:W3CDTF">2026-10-17T22:41:48Z</dcterms:modified>
</cp:coreProperties>
</file>